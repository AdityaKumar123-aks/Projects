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bacin-my.sharepoint.com/personal/24m1355_iitb_ac_in/Documents/"/>
    </mc:Choice>
  </mc:AlternateContent>
  <xr:revisionPtr revIDLastSave="94" documentId="8_{25660BF7-99E5-4FDC-8CB8-84C57D8D61FC}" xr6:coauthVersionLast="47" xr6:coauthVersionMax="47" xr10:uidLastSave="{D2916CE6-3788-4138-B3E7-4951726987CA}"/>
  <bookViews>
    <workbookView xWindow="-108" yWindow="-108" windowWidth="23256" windowHeight="13896" activeTab="2" xr2:uid="{87B0DFF1-12AA-41BF-980F-05C251CF25D3}"/>
  </bookViews>
  <sheets>
    <sheet name="Rfreq and Choke Selection" sheetId="1" r:id="rId1"/>
    <sheet name="Results and Readings" sheetId="2" r:id="rId2"/>
    <sheet name="Thermal Asp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3" l="1"/>
  <c r="P5" i="3"/>
  <c r="M5" i="3"/>
  <c r="J5" i="3"/>
  <c r="E5" i="3"/>
  <c r="F5" i="3" s="1"/>
  <c r="L21" i="2"/>
  <c r="K21" i="2"/>
  <c r="O21" i="2" s="1"/>
  <c r="L20" i="2"/>
  <c r="K20" i="2"/>
  <c r="O20" i="2" s="1"/>
  <c r="L17" i="2"/>
  <c r="K17" i="2"/>
  <c r="L16" i="2"/>
  <c r="K16" i="2"/>
  <c r="O16" i="2" s="1"/>
  <c r="C35" i="1"/>
  <c r="K15" i="2"/>
  <c r="L14" i="2"/>
  <c r="L15" i="2"/>
  <c r="K14" i="2"/>
  <c r="L13" i="2"/>
  <c r="K13" i="2"/>
  <c r="K9" i="2"/>
  <c r="L9" i="2"/>
  <c r="C34" i="1"/>
  <c r="C33" i="1"/>
  <c r="C32" i="1"/>
  <c r="L7" i="2"/>
  <c r="K7" i="2"/>
  <c r="K8" i="2"/>
  <c r="C31" i="1"/>
  <c r="L6" i="2"/>
  <c r="L8" i="2"/>
  <c r="K6" i="2"/>
  <c r="O6" i="2" s="1"/>
  <c r="L5" i="2"/>
  <c r="K5" i="2"/>
  <c r="K4" i="2"/>
  <c r="C29" i="1"/>
  <c r="C30" i="1"/>
  <c r="C28" i="1"/>
  <c r="L4" i="2"/>
  <c r="C23" i="1"/>
  <c r="D23" i="1"/>
  <c r="E23" i="1" s="1"/>
  <c r="F23" i="1" s="1"/>
  <c r="D17" i="1"/>
  <c r="F17" i="1" s="1"/>
  <c r="C17" i="1"/>
  <c r="M21" i="1"/>
  <c r="M18" i="1"/>
  <c r="M14" i="1"/>
  <c r="C22" i="1"/>
  <c r="D22" i="1"/>
  <c r="C21" i="1"/>
  <c r="D21" i="1"/>
  <c r="E21" i="1" s="1"/>
  <c r="F21" i="1" s="1"/>
  <c r="D16" i="1"/>
  <c r="C16" i="1"/>
  <c r="F16" i="1" s="1"/>
  <c r="C15" i="1"/>
  <c r="F15" i="1" s="1"/>
  <c r="D15" i="1"/>
  <c r="H6" i="1"/>
  <c r="J6" i="1"/>
  <c r="H7" i="1"/>
  <c r="H8" i="1"/>
  <c r="H9" i="1"/>
  <c r="F8" i="1"/>
  <c r="F9" i="1"/>
  <c r="J7" i="1"/>
  <c r="G7" i="1"/>
  <c r="F7" i="1"/>
  <c r="E7" i="1"/>
  <c r="I7" i="1" s="1"/>
  <c r="G6" i="1"/>
  <c r="I6" i="1"/>
  <c r="F6" i="1"/>
  <c r="N5" i="3" l="1"/>
  <c r="O17" i="2"/>
  <c r="O14" i="2"/>
  <c r="O5" i="2"/>
  <c r="O15" i="2"/>
  <c r="O7" i="2"/>
  <c r="O13" i="2"/>
  <c r="O4" i="2"/>
  <c r="O9" i="2"/>
  <c r="O8" i="2"/>
  <c r="E22" i="1"/>
  <c r="F22" i="1" s="1"/>
</calcChain>
</file>

<file path=xl/sharedStrings.xml><?xml version="1.0" encoding="utf-8"?>
<sst xmlns="http://schemas.openxmlformats.org/spreadsheetml/2006/main" count="80" uniqueCount="70">
  <si>
    <t>Vin,peak</t>
  </si>
  <si>
    <t>Inductor current ripple (%)</t>
  </si>
  <si>
    <t>Output voltage ripple (%)</t>
  </si>
  <si>
    <t>C (F)</t>
  </si>
  <si>
    <t>fsw (Hz)</t>
  </si>
  <si>
    <t>Po (W)</t>
  </si>
  <si>
    <t>Vo (V)</t>
  </si>
  <si>
    <t>Io (A)</t>
  </si>
  <si>
    <t>R (ohms)</t>
  </si>
  <si>
    <t>L (mH)</t>
  </si>
  <si>
    <t>Iin, peak</t>
  </si>
  <si>
    <t>fsw (kHz)</t>
  </si>
  <si>
    <t>R_freq (k-ohms)</t>
  </si>
  <si>
    <t>Numr</t>
  </si>
  <si>
    <t>Denr</t>
  </si>
  <si>
    <t>fsw and R_freq Selection</t>
  </si>
  <si>
    <t>Inductor choke Calculation</t>
  </si>
  <si>
    <t>D_min</t>
  </si>
  <si>
    <t>Vin_min</t>
  </si>
  <si>
    <t>Vo</t>
  </si>
  <si>
    <t>Ipk</t>
  </si>
  <si>
    <t>Po</t>
  </si>
  <si>
    <t>eff</t>
  </si>
  <si>
    <t>L_min (uH)</t>
  </si>
  <si>
    <t>Allowable ripple (say) (%)</t>
  </si>
  <si>
    <t>Pin (W)</t>
  </si>
  <si>
    <t>Efficiency</t>
  </si>
  <si>
    <t>P.f.</t>
  </si>
  <si>
    <t>Vin, rms (V)</t>
  </si>
  <si>
    <t>Vo, dc (V)</t>
  </si>
  <si>
    <t>Iin, rms (A)</t>
  </si>
  <si>
    <t>IL,p-p (A)</t>
  </si>
  <si>
    <t>Iin,p-p (A)</t>
  </si>
  <si>
    <t>R (kohm)</t>
  </si>
  <si>
    <t>Pin power analyzer</t>
  </si>
  <si>
    <t>100V, 66.67W</t>
  </si>
  <si>
    <t>150V, 100W</t>
  </si>
  <si>
    <t>150V, 175W</t>
  </si>
  <si>
    <t>200V, 200W</t>
  </si>
  <si>
    <t>250V, 250W</t>
  </si>
  <si>
    <t>300V, 300W</t>
  </si>
  <si>
    <t>Vds p-p</t>
  </si>
  <si>
    <t>IL, avg(A)</t>
  </si>
  <si>
    <t>IL, rms (A)</t>
  </si>
  <si>
    <t>R_load (ohm)</t>
  </si>
  <si>
    <t>Inductor changed from 1.5 to 1.9 mH</t>
  </si>
  <si>
    <t>350V, 350W</t>
  </si>
  <si>
    <t>Specs</t>
  </si>
  <si>
    <t xml:space="preserve">400V, 400W </t>
  </si>
  <si>
    <t>400V, 500W</t>
  </si>
  <si>
    <t>Io (avg) (A)</t>
  </si>
  <si>
    <t>400V, 600W</t>
  </si>
  <si>
    <t>Ic,avg</t>
  </si>
  <si>
    <t>Ic,rms</t>
  </si>
  <si>
    <t>Rce</t>
  </si>
  <si>
    <t>V_CE_sat</t>
  </si>
  <si>
    <t>Vout</t>
  </si>
  <si>
    <t>Total Losses</t>
  </si>
  <si>
    <t>Freq changed from 65 to 47 kHz</t>
  </si>
  <si>
    <t>Eon (J)</t>
  </si>
  <si>
    <t>Eoff (J)</t>
  </si>
  <si>
    <t>delT_off (ns)</t>
  </si>
  <si>
    <t>delP_on (W)</t>
  </si>
  <si>
    <t>delP_off (W)</t>
  </si>
  <si>
    <t>P_sw (W)</t>
  </si>
  <si>
    <t>P_cond (W)</t>
  </si>
  <si>
    <t>delT_on (ns)</t>
  </si>
  <si>
    <t>IGBT Losses</t>
  </si>
  <si>
    <t>Tc (K)</t>
  </si>
  <si>
    <t>Tj 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</si>
</sst>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0973-5CAA-4D88-A09F-F23476DCEE30}">
  <dimension ref="A2:S35"/>
  <sheetViews>
    <sheetView zoomScale="115" zoomScaleNormal="115" workbookViewId="0">
      <selection activeCell="I24" sqref="I24"/>
    </sheetView>
  </sheetViews>
  <sheetFormatPr defaultRowHeight="14.4" x14ac:dyDescent="0.3"/>
  <cols>
    <col min="2" max="2" width="14.33203125" bestFit="1" customWidth="1"/>
    <col min="3" max="3" width="11" bestFit="1" customWidth="1"/>
    <col min="4" max="5" width="12" bestFit="1" customWidth="1"/>
    <col min="6" max="6" width="14.33203125" bestFit="1" customWidth="1"/>
    <col min="13" max="13" width="12.5546875" bestFit="1" customWidth="1"/>
  </cols>
  <sheetData>
    <row r="2" spans="1:19" x14ac:dyDescent="0.3">
      <c r="I2" s="20" t="s">
        <v>1</v>
      </c>
      <c r="J2" s="20"/>
      <c r="K2" s="20"/>
      <c r="L2">
        <v>10</v>
      </c>
      <c r="P2" s="20" t="s">
        <v>2</v>
      </c>
      <c r="Q2" s="20"/>
      <c r="R2" s="20"/>
      <c r="S2">
        <v>5</v>
      </c>
    </row>
    <row r="4" spans="1:19" s="1" customFormat="1" x14ac:dyDescent="0.3">
      <c r="B4" s="1" t="s">
        <v>4</v>
      </c>
      <c r="C4" s="1" t="s">
        <v>5</v>
      </c>
      <c r="D4" s="1" t="s">
        <v>6</v>
      </c>
      <c r="E4" s="1" t="s">
        <v>0</v>
      </c>
      <c r="F4" s="1" t="s">
        <v>7</v>
      </c>
      <c r="G4" s="1" t="s">
        <v>10</v>
      </c>
      <c r="H4" s="1" t="s">
        <v>8</v>
      </c>
      <c r="I4" s="1" t="s">
        <v>9</v>
      </c>
      <c r="J4" s="1" t="s">
        <v>3</v>
      </c>
    </row>
    <row r="6" spans="1:19" x14ac:dyDescent="0.3">
      <c r="B6">
        <v>30000</v>
      </c>
      <c r="C6">
        <v>500</v>
      </c>
      <c r="D6">
        <v>400</v>
      </c>
      <c r="E6">
        <v>200</v>
      </c>
      <c r="F6">
        <f>C6/D6</f>
        <v>1.25</v>
      </c>
      <c r="G6">
        <f>C6*2/E6</f>
        <v>5</v>
      </c>
      <c r="H6">
        <f>D6^2/C6</f>
        <v>320</v>
      </c>
      <c r="I6">
        <f>(1000*E6^2*(1-E6/D6))/(0.01*L2*2*C6*B6)</f>
        <v>6.666666666666667</v>
      </c>
      <c r="J6">
        <f>C6*10^6/(D6*100*PI()*0.01*$S$2*D6)</f>
        <v>198.94367886486916</v>
      </c>
    </row>
    <row r="7" spans="1:19" x14ac:dyDescent="0.3">
      <c r="B7">
        <v>45000</v>
      </c>
      <c r="C7">
        <v>1000</v>
      </c>
      <c r="D7">
        <v>400</v>
      </c>
      <c r="E7">
        <f>230*SQRT(2)</f>
        <v>325.26911934581187</v>
      </c>
      <c r="F7">
        <f>C7/D7</f>
        <v>2.5</v>
      </c>
      <c r="G7">
        <f>(2*C7)/(E7*0.6)</f>
        <v>10.247924365022428</v>
      </c>
      <c r="H7">
        <f t="shared" ref="H7:H9" si="0">D7^2/C7</f>
        <v>160</v>
      </c>
      <c r="I7">
        <f>(1000*E7^2*(1-E7/D7))/(0.01*$L$2*2*C7*B7)</f>
        <v>2.196257548114751</v>
      </c>
      <c r="J7">
        <f>C7*10^6/(D7*100*PI()*0.01*$S$2*D7)</f>
        <v>397.88735772973831</v>
      </c>
    </row>
    <row r="8" spans="1:19" x14ac:dyDescent="0.3">
      <c r="F8" t="e">
        <f t="shared" ref="F8:F9" si="1">C8/D8</f>
        <v>#DIV/0!</v>
      </c>
      <c r="H8" t="e">
        <f t="shared" si="0"/>
        <v>#DIV/0!</v>
      </c>
      <c r="I8" s="1"/>
      <c r="J8" s="1"/>
    </row>
    <row r="9" spans="1:19" x14ac:dyDescent="0.3">
      <c r="C9">
        <v>300</v>
      </c>
      <c r="D9">
        <v>400</v>
      </c>
      <c r="F9">
        <f t="shared" si="1"/>
        <v>0.75</v>
      </c>
      <c r="H9">
        <f t="shared" si="0"/>
        <v>533.33333333333337</v>
      </c>
    </row>
    <row r="11" spans="1:19" x14ac:dyDescent="0.3">
      <c r="A11" s="5"/>
      <c r="B11" s="21" t="s">
        <v>15</v>
      </c>
      <c r="C11" s="22"/>
      <c r="D11" s="22"/>
      <c r="E11" s="22"/>
      <c r="F11" s="23"/>
      <c r="G11" s="6"/>
      <c r="H11" s="7"/>
      <c r="J11" s="26" t="s">
        <v>16</v>
      </c>
      <c r="K11" s="27"/>
      <c r="L11" s="27"/>
      <c r="M11" s="27"/>
      <c r="N11" s="28"/>
      <c r="O11" s="1"/>
      <c r="P11" s="1"/>
    </row>
    <row r="12" spans="1:19" x14ac:dyDescent="0.3">
      <c r="A12" s="8"/>
      <c r="B12" s="9"/>
      <c r="C12" s="9"/>
      <c r="D12" s="9"/>
      <c r="E12" s="9"/>
      <c r="F12" s="9"/>
      <c r="G12" s="9"/>
      <c r="H12" s="10"/>
      <c r="J12" s="8"/>
      <c r="K12" s="9"/>
      <c r="L12" s="9"/>
      <c r="M12" s="9"/>
      <c r="N12" s="10"/>
    </row>
    <row r="13" spans="1:19" x14ac:dyDescent="0.3">
      <c r="A13" s="8"/>
      <c r="B13" s="11" t="s">
        <v>11</v>
      </c>
      <c r="C13" s="9" t="s">
        <v>13</v>
      </c>
      <c r="D13" s="9" t="s">
        <v>14</v>
      </c>
      <c r="E13" s="9"/>
      <c r="F13" s="11" t="s">
        <v>12</v>
      </c>
      <c r="G13" s="9"/>
      <c r="H13" s="10"/>
      <c r="J13" s="8" t="s">
        <v>18</v>
      </c>
      <c r="K13" s="9" t="s">
        <v>19</v>
      </c>
      <c r="L13" s="9"/>
      <c r="M13" s="9" t="s">
        <v>17</v>
      </c>
      <c r="N13" s="10"/>
    </row>
    <row r="14" spans="1:19" x14ac:dyDescent="0.3">
      <c r="A14" s="8"/>
      <c r="B14" s="9"/>
      <c r="C14" s="9"/>
      <c r="D14" s="9"/>
      <c r="E14" s="9"/>
      <c r="F14" s="9"/>
      <c r="G14" s="9"/>
      <c r="H14" s="10"/>
      <c r="J14" s="8">
        <v>190</v>
      </c>
      <c r="K14" s="9">
        <v>390</v>
      </c>
      <c r="L14" s="9"/>
      <c r="M14" s="9">
        <f>(1-(1.414213*J14)/K14)</f>
        <v>0.31102443589743589</v>
      </c>
      <c r="N14" s="10"/>
    </row>
    <row r="15" spans="1:19" x14ac:dyDescent="0.3">
      <c r="A15" s="8"/>
      <c r="B15" s="9">
        <v>45</v>
      </c>
      <c r="C15" s="9">
        <f>(65*1000*32.7*1000*1*10^6)</f>
        <v>2125500000000000</v>
      </c>
      <c r="D15" s="9">
        <f>((B15*1000*10^6)+(B15*1000*32.7*1000)-(65*1000*32.7*1000))</f>
        <v>44346000000</v>
      </c>
      <c r="E15" s="9"/>
      <c r="F15" s="9">
        <f>C15/(D15*1000)</f>
        <v>47.929914761196052</v>
      </c>
      <c r="G15" s="9"/>
      <c r="H15" s="10"/>
      <c r="J15" s="8"/>
      <c r="K15" s="9"/>
      <c r="L15" s="9"/>
      <c r="M15" s="9"/>
      <c r="N15" s="10"/>
    </row>
    <row r="16" spans="1:19" x14ac:dyDescent="0.3">
      <c r="A16" s="8"/>
      <c r="B16" s="9">
        <v>65</v>
      </c>
      <c r="C16" s="9">
        <f>(65*1000*32.7*1000*1*10^6)</f>
        <v>2125500000000000</v>
      </c>
      <c r="D16" s="9">
        <f>((B16*1000*10^6)+(B16*1000*32.7*1000)-(65*1000*32.7*1000))</f>
        <v>65000000000</v>
      </c>
      <c r="E16" s="9"/>
      <c r="F16" s="9">
        <f>C16/(D16*1000)</f>
        <v>32.700000000000003</v>
      </c>
      <c r="G16" s="9"/>
      <c r="H16" s="10"/>
      <c r="J16" s="24" t="s">
        <v>24</v>
      </c>
      <c r="K16" s="25"/>
      <c r="L16" s="25"/>
      <c r="M16" s="15">
        <v>0.4</v>
      </c>
      <c r="N16" s="16"/>
    </row>
    <row r="17" spans="1:14" x14ac:dyDescent="0.3">
      <c r="A17" s="8"/>
      <c r="B17" s="9">
        <v>30</v>
      </c>
      <c r="C17" s="9">
        <f>(65*1000*32.7*1000*1*10^6)</f>
        <v>2125500000000000</v>
      </c>
      <c r="D17" s="9">
        <f>((B17*1000*10^6)+(B17*1000*32.7*1000)-(65*1000*32.7*1000))</f>
        <v>28855500000</v>
      </c>
      <c r="E17" s="9"/>
      <c r="F17" s="9">
        <f>C17/(D17*1000)</f>
        <v>73.660134116546246</v>
      </c>
      <c r="G17" s="9"/>
      <c r="H17" s="10"/>
      <c r="J17" s="8" t="s">
        <v>21</v>
      </c>
      <c r="K17" s="9" t="s">
        <v>22</v>
      </c>
      <c r="L17" s="9"/>
      <c r="M17" s="9" t="s">
        <v>20</v>
      </c>
      <c r="N17" s="10"/>
    </row>
    <row r="18" spans="1:14" x14ac:dyDescent="0.3">
      <c r="A18" s="8"/>
      <c r="B18" s="9"/>
      <c r="C18" s="9"/>
      <c r="D18" s="9"/>
      <c r="E18" s="9"/>
      <c r="F18" s="9"/>
      <c r="G18" s="9"/>
      <c r="H18" s="10"/>
      <c r="J18" s="8">
        <v>3500</v>
      </c>
      <c r="K18" s="9">
        <v>0.98</v>
      </c>
      <c r="L18" s="9"/>
      <c r="M18" s="9">
        <f>((1.414213*J18)/(K18*J14))</f>
        <v>26.582951127819552</v>
      </c>
      <c r="N18" s="10"/>
    </row>
    <row r="19" spans="1:14" x14ac:dyDescent="0.3">
      <c r="A19" s="8"/>
      <c r="B19" s="11" t="s">
        <v>12</v>
      </c>
      <c r="C19" s="9" t="s">
        <v>13</v>
      </c>
      <c r="D19" s="9" t="s">
        <v>14</v>
      </c>
      <c r="E19" s="9"/>
      <c r="F19" s="11" t="s">
        <v>11</v>
      </c>
      <c r="G19" s="9"/>
      <c r="H19" s="10"/>
      <c r="J19" s="8"/>
      <c r="K19" s="9"/>
      <c r="L19" s="9"/>
      <c r="M19" s="9"/>
      <c r="N19" s="10"/>
    </row>
    <row r="20" spans="1:14" x14ac:dyDescent="0.3">
      <c r="A20" s="8"/>
      <c r="B20" s="9"/>
      <c r="C20" s="9"/>
      <c r="D20" s="9"/>
      <c r="E20" s="9"/>
      <c r="F20" s="9"/>
      <c r="G20" s="9"/>
      <c r="H20" s="10"/>
      <c r="J20" s="8" t="s">
        <v>11</v>
      </c>
      <c r="K20" s="9"/>
      <c r="L20" s="9"/>
      <c r="M20" s="9" t="s">
        <v>23</v>
      </c>
      <c r="N20" s="10"/>
    </row>
    <row r="21" spans="1:14" x14ac:dyDescent="0.3">
      <c r="A21" s="8"/>
      <c r="B21" s="9">
        <v>47.929900000000004</v>
      </c>
      <c r="C21" s="9">
        <f>(65*32.7*10^12)</f>
        <v>2125500000000000</v>
      </c>
      <c r="D21" s="9">
        <f>B21*1000</f>
        <v>47929.9</v>
      </c>
      <c r="E21" s="9">
        <f>C21/D21+(65*32.7*10^6)</f>
        <v>46471513657.445557</v>
      </c>
      <c r="F21" s="9">
        <f>E21/((10^6+32.7*1000)*1000)</f>
        <v>45.000013224988436</v>
      </c>
      <c r="G21" s="9"/>
      <c r="H21" s="10"/>
      <c r="J21" s="8">
        <v>45</v>
      </c>
      <c r="K21" s="9"/>
      <c r="L21" s="9"/>
      <c r="M21" s="9">
        <f>((1.414213*J14*M14*10^6)/(M18*M16*J21*1000))</f>
        <v>174.65749989173787</v>
      </c>
      <c r="N21" s="10"/>
    </row>
    <row r="22" spans="1:14" x14ac:dyDescent="0.3">
      <c r="A22" s="8"/>
      <c r="B22" s="9">
        <v>32.700000000000003</v>
      </c>
      <c r="C22" s="9">
        <f>(65*32.7*10^12)</f>
        <v>2125500000000000</v>
      </c>
      <c r="D22" s="9">
        <f>B22*1000</f>
        <v>32700.000000000004</v>
      </c>
      <c r="E22" s="9">
        <f>C22/D22+(65*32.7*10^6)</f>
        <v>67125499999.999992</v>
      </c>
      <c r="F22" s="9">
        <f>E22/((10^6+32.7*1000)*1000)</f>
        <v>64.999999999999986</v>
      </c>
      <c r="G22" s="9"/>
      <c r="H22" s="10"/>
      <c r="J22" s="12"/>
      <c r="K22" s="13"/>
      <c r="L22" s="13"/>
      <c r="M22" s="13"/>
      <c r="N22" s="14"/>
    </row>
    <row r="23" spans="1:14" x14ac:dyDescent="0.3">
      <c r="A23" s="8"/>
      <c r="B23" s="9">
        <v>46</v>
      </c>
      <c r="C23" s="9">
        <f>(65*32.7*10^12)</f>
        <v>2125500000000000</v>
      </c>
      <c r="D23" s="9">
        <f>B23*1000</f>
        <v>46000</v>
      </c>
      <c r="E23" s="9">
        <f>C23/D23+(65*32.7*10^6)</f>
        <v>48332021739.130432</v>
      </c>
      <c r="F23" s="9">
        <f>E23/((10^6+32.7*1000)*1000)</f>
        <v>46.801609120877728</v>
      </c>
      <c r="G23" s="9"/>
      <c r="H23" s="10"/>
    </row>
    <row r="24" spans="1:14" x14ac:dyDescent="0.3">
      <c r="A24" s="12"/>
      <c r="B24" s="13"/>
      <c r="C24" s="13"/>
      <c r="D24" s="13"/>
      <c r="E24" s="13"/>
      <c r="F24" s="13"/>
      <c r="G24" s="13"/>
      <c r="H24" s="14"/>
    </row>
    <row r="27" spans="1:14" x14ac:dyDescent="0.3">
      <c r="B27" s="11" t="s">
        <v>19</v>
      </c>
      <c r="C27" s="11" t="s">
        <v>33</v>
      </c>
    </row>
    <row r="28" spans="1:14" x14ac:dyDescent="0.3">
      <c r="B28" s="9">
        <v>390</v>
      </c>
      <c r="C28" s="9">
        <f>(990)/(B28/5-1)</f>
        <v>12.857142857142858</v>
      </c>
    </row>
    <row r="29" spans="1:14" x14ac:dyDescent="0.3">
      <c r="B29" s="9">
        <v>100</v>
      </c>
      <c r="C29" s="9">
        <f t="shared" ref="C29:C34" si="2">(990)/(B29/5-1)</f>
        <v>52.10526315789474</v>
      </c>
    </row>
    <row r="30" spans="1:14" x14ac:dyDescent="0.3">
      <c r="B30" s="9">
        <v>150</v>
      </c>
      <c r="C30" s="9">
        <f t="shared" si="2"/>
        <v>34.137931034482762</v>
      </c>
    </row>
    <row r="31" spans="1:14" x14ac:dyDescent="0.3">
      <c r="B31" s="9">
        <v>200</v>
      </c>
      <c r="C31" s="9">
        <f t="shared" si="2"/>
        <v>25.384615384615383</v>
      </c>
    </row>
    <row r="32" spans="1:14" x14ac:dyDescent="0.3">
      <c r="B32" s="9">
        <v>250</v>
      </c>
      <c r="C32" s="9">
        <f t="shared" si="2"/>
        <v>20.204081632653061</v>
      </c>
    </row>
    <row r="33" spans="2:3" x14ac:dyDescent="0.3">
      <c r="B33" s="9">
        <v>300</v>
      </c>
      <c r="C33" s="9">
        <f t="shared" si="2"/>
        <v>16.779661016949152</v>
      </c>
    </row>
    <row r="34" spans="2:3" x14ac:dyDescent="0.3">
      <c r="B34" s="9">
        <v>350</v>
      </c>
      <c r="C34" s="9">
        <f t="shared" si="2"/>
        <v>14.347826086956522</v>
      </c>
    </row>
    <row r="35" spans="2:3" x14ac:dyDescent="0.3">
      <c r="B35" s="9">
        <v>400</v>
      </c>
      <c r="C35" s="9">
        <f>(990)/(B35/5-1)</f>
        <v>12.531645569620252</v>
      </c>
    </row>
  </sheetData>
  <mergeCells count="5">
    <mergeCell ref="I2:K2"/>
    <mergeCell ref="P2:R2"/>
    <mergeCell ref="B11:F11"/>
    <mergeCell ref="J16:L16"/>
    <mergeCell ref="J11:N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6205-7119-4CDF-86D0-3CF2CC811E12}">
  <dimension ref="A2:R22"/>
  <sheetViews>
    <sheetView zoomScale="115" zoomScaleNormal="115" workbookViewId="0">
      <selection activeCell="G25" sqref="G25"/>
    </sheetView>
  </sheetViews>
  <sheetFormatPr defaultRowHeight="14.4" x14ac:dyDescent="0.3"/>
  <cols>
    <col min="1" max="2" width="8.88671875" style="9"/>
    <col min="3" max="3" width="12.109375" style="9" customWidth="1"/>
    <col min="4" max="4" width="11.109375" style="9" customWidth="1"/>
    <col min="5" max="5" width="11.5546875" style="9" customWidth="1"/>
    <col min="6" max="7" width="10.5546875" style="9" customWidth="1"/>
    <col min="8" max="8" width="11.77734375" style="9" bestFit="1" customWidth="1"/>
    <col min="9" max="9" width="10.5546875" style="9" customWidth="1"/>
    <col min="10" max="10" width="13.77734375" style="9" customWidth="1"/>
    <col min="11" max="11" width="12" style="9" bestFit="1" customWidth="1"/>
    <col min="12" max="12" width="11.44140625" style="9" customWidth="1"/>
    <col min="13" max="13" width="17" style="9" bestFit="1" customWidth="1"/>
    <col min="14" max="14" width="7.77734375" style="9" customWidth="1"/>
    <col min="15" max="15" width="9.88671875" style="9" customWidth="1"/>
    <col min="16" max="16" width="10.44140625" style="9" bestFit="1" customWidth="1"/>
    <col min="17" max="17" width="8.88671875" style="9"/>
    <col min="19" max="16384" width="8.88671875" style="9"/>
  </cols>
  <sheetData>
    <row r="2" spans="1:17" x14ac:dyDescent="0.3">
      <c r="A2" s="32" t="s">
        <v>47</v>
      </c>
      <c r="B2" s="33"/>
      <c r="C2" s="2" t="s">
        <v>28</v>
      </c>
      <c r="D2" s="3" t="s">
        <v>29</v>
      </c>
      <c r="E2" s="3" t="s">
        <v>30</v>
      </c>
      <c r="F2" s="3" t="s">
        <v>32</v>
      </c>
      <c r="G2" s="3" t="s">
        <v>42</v>
      </c>
      <c r="H2" s="3" t="s">
        <v>43</v>
      </c>
      <c r="I2" s="3" t="s">
        <v>31</v>
      </c>
      <c r="J2" s="3" t="s">
        <v>44</v>
      </c>
      <c r="K2" s="3" t="s">
        <v>5</v>
      </c>
      <c r="L2" s="3" t="s">
        <v>25</v>
      </c>
      <c r="M2" s="3" t="s">
        <v>34</v>
      </c>
      <c r="N2" s="3" t="s">
        <v>27</v>
      </c>
      <c r="O2" s="4" t="s">
        <v>26</v>
      </c>
      <c r="P2" s="11" t="s">
        <v>50</v>
      </c>
      <c r="Q2" s="11" t="s">
        <v>41</v>
      </c>
    </row>
    <row r="3" spans="1:17" x14ac:dyDescent="0.3">
      <c r="C3" s="8"/>
      <c r="O3" s="10"/>
    </row>
    <row r="4" spans="1:17" x14ac:dyDescent="0.3">
      <c r="A4" s="25" t="s">
        <v>35</v>
      </c>
      <c r="B4" s="25"/>
      <c r="C4" s="8">
        <v>50</v>
      </c>
      <c r="D4" s="17">
        <v>104.7</v>
      </c>
      <c r="E4" s="9">
        <v>1.57</v>
      </c>
      <c r="F4" s="9">
        <v>4.8</v>
      </c>
      <c r="H4" s="9">
        <v>1.3</v>
      </c>
      <c r="I4" s="9">
        <v>3.2</v>
      </c>
      <c r="J4" s="9">
        <v>150</v>
      </c>
      <c r="K4" s="17">
        <f>D4^2/J4</f>
        <v>73.080600000000004</v>
      </c>
      <c r="L4" s="9">
        <f>C4*E4*N4</f>
        <v>78.225250000000003</v>
      </c>
      <c r="N4" s="9">
        <v>0.99650000000000005</v>
      </c>
      <c r="O4" s="10">
        <f>K4*100/L4</f>
        <v>93.423287237816439</v>
      </c>
    </row>
    <row r="5" spans="1:17" x14ac:dyDescent="0.3">
      <c r="A5" s="25" t="s">
        <v>36</v>
      </c>
      <c r="B5" s="25"/>
      <c r="C5" s="8">
        <v>74.3</v>
      </c>
      <c r="D5" s="17">
        <v>152.4</v>
      </c>
      <c r="E5" s="9">
        <v>1.46</v>
      </c>
      <c r="F5" s="9">
        <v>5.25</v>
      </c>
      <c r="H5" s="9">
        <v>1.46</v>
      </c>
      <c r="I5" s="9">
        <v>3.2</v>
      </c>
      <c r="J5" s="9">
        <v>225</v>
      </c>
      <c r="K5" s="17">
        <f>D5^2/J5</f>
        <v>103.22560000000001</v>
      </c>
      <c r="L5" s="9">
        <f>C5*E5*N5</f>
        <v>108.206805</v>
      </c>
      <c r="M5" s="9">
        <v>119.8</v>
      </c>
      <c r="N5" s="9">
        <v>0.99750000000000005</v>
      </c>
      <c r="O5" s="10">
        <f t="shared" ref="O5:O21" si="0">K5*100/L5</f>
        <v>95.396588042683646</v>
      </c>
    </row>
    <row r="6" spans="1:17" x14ac:dyDescent="0.3">
      <c r="A6" s="25" t="s">
        <v>37</v>
      </c>
      <c r="B6" s="25"/>
      <c r="C6" s="8">
        <v>74.900000000000006</v>
      </c>
      <c r="D6" s="17">
        <v>151</v>
      </c>
      <c r="E6" s="9">
        <v>2.5</v>
      </c>
      <c r="F6" s="9">
        <v>8.1999999999999993</v>
      </c>
      <c r="H6" s="9">
        <v>2.5</v>
      </c>
      <c r="I6" s="9">
        <v>5.2</v>
      </c>
      <c r="J6" s="9">
        <v>128</v>
      </c>
      <c r="K6" s="17">
        <f>D6^2/J6</f>
        <v>178.1328125</v>
      </c>
      <c r="L6" s="9">
        <f>C6*E6*N6</f>
        <v>186.89422500000001</v>
      </c>
      <c r="M6" s="9">
        <v>206</v>
      </c>
      <c r="N6" s="9">
        <v>0.99809999999999999</v>
      </c>
      <c r="O6" s="10">
        <f t="shared" si="0"/>
        <v>95.31210100258582</v>
      </c>
    </row>
    <row r="7" spans="1:17" x14ac:dyDescent="0.3">
      <c r="A7" s="25" t="s">
        <v>38</v>
      </c>
      <c r="B7" s="25"/>
      <c r="C7" s="8">
        <v>101</v>
      </c>
      <c r="D7" s="17">
        <v>201</v>
      </c>
      <c r="E7" s="9">
        <v>2.1</v>
      </c>
      <c r="F7" s="9">
        <v>6.8</v>
      </c>
      <c r="H7" s="9">
        <v>2.09</v>
      </c>
      <c r="I7" s="9">
        <v>4.4000000000000004</v>
      </c>
      <c r="J7" s="9">
        <v>201</v>
      </c>
      <c r="K7" s="17">
        <f t="shared" ref="K7:K17" si="1">D7^2/J7</f>
        <v>201</v>
      </c>
      <c r="L7" s="9">
        <f>C7*E7*N7</f>
        <v>211.80306000000004</v>
      </c>
      <c r="M7" s="9">
        <v>227.3</v>
      </c>
      <c r="N7" s="9">
        <v>0.99860000000000004</v>
      </c>
      <c r="O7" s="10">
        <f>K7*100/L7</f>
        <v>94.899478789399907</v>
      </c>
    </row>
    <row r="8" spans="1:17" x14ac:dyDescent="0.3">
      <c r="A8" s="25" t="s">
        <v>39</v>
      </c>
      <c r="B8" s="25"/>
      <c r="C8" s="8">
        <v>125.3</v>
      </c>
      <c r="D8" s="17">
        <v>256</v>
      </c>
      <c r="E8" s="9">
        <v>2.19</v>
      </c>
      <c r="F8" s="9">
        <v>7.2</v>
      </c>
      <c r="H8" s="9">
        <v>2.1800000000000002</v>
      </c>
      <c r="I8" s="9">
        <v>5</v>
      </c>
      <c r="J8" s="9">
        <v>250</v>
      </c>
      <c r="K8" s="17">
        <f t="shared" si="1"/>
        <v>262.14400000000001</v>
      </c>
      <c r="L8" s="9">
        <f t="shared" ref="L8:L21" si="2">C8*E8*N8</f>
        <v>274.13259299999999</v>
      </c>
      <c r="M8" s="9">
        <v>292.3</v>
      </c>
      <c r="N8" s="9">
        <v>0.999</v>
      </c>
      <c r="O8" s="10">
        <f t="shared" si="0"/>
        <v>95.626717396570214</v>
      </c>
    </row>
    <row r="9" spans="1:17" x14ac:dyDescent="0.3">
      <c r="A9" s="25" t="s">
        <v>40</v>
      </c>
      <c r="B9" s="25"/>
      <c r="C9" s="8">
        <v>150.19999999999999</v>
      </c>
      <c r="D9" s="17">
        <v>305</v>
      </c>
      <c r="E9" s="9">
        <v>2.25</v>
      </c>
      <c r="F9" s="9">
        <v>7.4</v>
      </c>
      <c r="G9" s="9">
        <v>2.0299999999999998</v>
      </c>
      <c r="H9" s="9">
        <v>2.2599999999999998</v>
      </c>
      <c r="I9" s="9">
        <v>5.4</v>
      </c>
      <c r="J9" s="9">
        <v>302</v>
      </c>
      <c r="K9" s="17">
        <f>D9^2/J9</f>
        <v>308.0298013245033</v>
      </c>
      <c r="L9" s="9">
        <f>C9*E9*N9</f>
        <v>337.67964000000001</v>
      </c>
      <c r="M9" s="9">
        <v>356</v>
      </c>
      <c r="N9" s="9">
        <v>0.99919999999999998</v>
      </c>
      <c r="O9" s="10">
        <f t="shared" si="0"/>
        <v>91.219536162886001</v>
      </c>
      <c r="Q9" s="9">
        <v>376</v>
      </c>
    </row>
    <row r="10" spans="1:17" x14ac:dyDescent="0.3">
      <c r="C10" s="8"/>
      <c r="D10" s="17"/>
      <c r="K10" s="17"/>
      <c r="O10" s="10"/>
    </row>
    <row r="11" spans="1:17" x14ac:dyDescent="0.3">
      <c r="C11" s="8"/>
      <c r="D11" s="17"/>
      <c r="G11" s="29" t="s">
        <v>45</v>
      </c>
      <c r="H11" s="30"/>
      <c r="I11" s="30"/>
      <c r="J11" s="31"/>
      <c r="K11" s="17"/>
      <c r="O11" s="10"/>
    </row>
    <row r="12" spans="1:17" x14ac:dyDescent="0.3">
      <c r="A12" s="18"/>
      <c r="B12" s="18"/>
      <c r="C12" s="8"/>
      <c r="D12" s="17"/>
      <c r="K12" s="17"/>
      <c r="O12" s="10"/>
    </row>
    <row r="13" spans="1:17" x14ac:dyDescent="0.3">
      <c r="A13" s="25" t="s">
        <v>40</v>
      </c>
      <c r="B13" s="25"/>
      <c r="C13" s="8">
        <v>151.5</v>
      </c>
      <c r="D13" s="9">
        <v>305.5</v>
      </c>
      <c r="E13" s="9">
        <v>2.27</v>
      </c>
      <c r="F13" s="9">
        <v>7.4</v>
      </c>
      <c r="G13" s="9">
        <v>2.0699999999999998</v>
      </c>
      <c r="H13" s="9">
        <v>2.27</v>
      </c>
      <c r="I13" s="9">
        <v>4.4000000000000004</v>
      </c>
      <c r="J13" s="9">
        <v>301</v>
      </c>
      <c r="K13" s="17">
        <f t="shared" si="1"/>
        <v>310.06727574750829</v>
      </c>
      <c r="L13" s="9">
        <f t="shared" si="2"/>
        <v>343.62987600000002</v>
      </c>
      <c r="M13" s="9">
        <v>361</v>
      </c>
      <c r="N13" s="9">
        <v>0.99919999999999998</v>
      </c>
      <c r="O13" s="10">
        <f t="shared" si="0"/>
        <v>90.232921350385809</v>
      </c>
      <c r="Q13" s="9">
        <v>391</v>
      </c>
    </row>
    <row r="14" spans="1:17" x14ac:dyDescent="0.3">
      <c r="A14" s="25" t="s">
        <v>46</v>
      </c>
      <c r="B14" s="25"/>
      <c r="C14" s="8">
        <v>175.7</v>
      </c>
      <c r="D14" s="9">
        <v>354</v>
      </c>
      <c r="E14" s="9">
        <v>2.2999999999999998</v>
      </c>
      <c r="F14" s="9">
        <v>7.4</v>
      </c>
      <c r="G14" s="9">
        <v>2.09</v>
      </c>
      <c r="H14" s="9">
        <v>2.2799999999999998</v>
      </c>
      <c r="I14" s="9">
        <v>4.2</v>
      </c>
      <c r="J14" s="9">
        <v>350</v>
      </c>
      <c r="K14" s="17">
        <f t="shared" si="1"/>
        <v>358.04571428571427</v>
      </c>
      <c r="L14" s="9">
        <f t="shared" si="2"/>
        <v>403.66547899999995</v>
      </c>
      <c r="M14" s="9">
        <v>419</v>
      </c>
      <c r="N14" s="9">
        <v>0.99890000000000001</v>
      </c>
      <c r="O14" s="10">
        <f t="shared" si="0"/>
        <v>88.698621237738863</v>
      </c>
      <c r="Q14" s="9">
        <v>444</v>
      </c>
    </row>
    <row r="15" spans="1:17" x14ac:dyDescent="0.3">
      <c r="A15" s="25" t="s">
        <v>48</v>
      </c>
      <c r="B15" s="25"/>
      <c r="C15" s="8">
        <v>201.2</v>
      </c>
      <c r="D15" s="9">
        <v>403.5</v>
      </c>
      <c r="E15" s="9">
        <v>2.19</v>
      </c>
      <c r="F15" s="9">
        <v>7.2</v>
      </c>
      <c r="G15" s="9">
        <v>2</v>
      </c>
      <c r="H15" s="9">
        <v>2.19</v>
      </c>
      <c r="I15" s="9">
        <v>4.2</v>
      </c>
      <c r="J15" s="9">
        <v>400</v>
      </c>
      <c r="K15" s="17">
        <f t="shared" si="1"/>
        <v>407.03062499999999</v>
      </c>
      <c r="L15" s="9">
        <f t="shared" si="2"/>
        <v>440.09924639999997</v>
      </c>
      <c r="M15" s="9">
        <v>455</v>
      </c>
      <c r="N15" s="9">
        <v>0.99880000000000002</v>
      </c>
      <c r="O15" s="10">
        <f t="shared" si="0"/>
        <v>92.486099062768133</v>
      </c>
      <c r="Q15" s="9">
        <v>482</v>
      </c>
    </row>
    <row r="16" spans="1:17" x14ac:dyDescent="0.3">
      <c r="A16" s="25"/>
      <c r="B16" s="25"/>
      <c r="C16" s="9">
        <v>232.5</v>
      </c>
      <c r="D16" s="9">
        <v>402</v>
      </c>
      <c r="E16" s="9">
        <v>1.88</v>
      </c>
      <c r="F16" s="9">
        <v>6.2</v>
      </c>
      <c r="G16" s="9">
        <v>1.6</v>
      </c>
      <c r="H16" s="9">
        <v>1.87</v>
      </c>
      <c r="I16" s="9">
        <v>3.6</v>
      </c>
      <c r="J16" s="9">
        <v>400</v>
      </c>
      <c r="K16" s="17">
        <f t="shared" si="1"/>
        <v>404.01</v>
      </c>
      <c r="L16" s="9">
        <f t="shared" si="2"/>
        <v>436.40063999999995</v>
      </c>
      <c r="M16" s="9">
        <v>450.5</v>
      </c>
      <c r="N16" s="9">
        <v>0.99839999999999995</v>
      </c>
      <c r="O16" s="10">
        <f t="shared" si="0"/>
        <v>92.577774404730491</v>
      </c>
      <c r="Q16" s="9">
        <v>482</v>
      </c>
    </row>
    <row r="17" spans="1:17" x14ac:dyDescent="0.3">
      <c r="A17" s="25" t="s">
        <v>49</v>
      </c>
      <c r="B17" s="25"/>
      <c r="C17" s="9">
        <v>231.8</v>
      </c>
      <c r="D17" s="9">
        <v>402</v>
      </c>
      <c r="E17" s="9">
        <v>2.23</v>
      </c>
      <c r="F17" s="9">
        <v>7.2</v>
      </c>
      <c r="G17" s="9">
        <v>2.02</v>
      </c>
      <c r="H17" s="9">
        <v>2.2000000000000002</v>
      </c>
      <c r="I17" s="9">
        <v>4.2</v>
      </c>
      <c r="J17" s="9">
        <v>320</v>
      </c>
      <c r="K17" s="9">
        <f t="shared" si="1"/>
        <v>505.01249999999999</v>
      </c>
      <c r="L17" s="9">
        <f t="shared" si="2"/>
        <v>516.08693759999994</v>
      </c>
      <c r="M17" s="9">
        <v>528.29999999999995</v>
      </c>
      <c r="N17" s="9">
        <v>0.99839999999999995</v>
      </c>
      <c r="O17" s="9">
        <f t="shared" si="0"/>
        <v>97.854152703127838</v>
      </c>
      <c r="Q17" s="9">
        <v>487</v>
      </c>
    </row>
    <row r="19" spans="1:17" x14ac:dyDescent="0.3">
      <c r="G19" s="41" t="s">
        <v>58</v>
      </c>
      <c r="H19" s="42"/>
      <c r="I19" s="42"/>
      <c r="J19" s="43"/>
    </row>
    <row r="20" spans="1:17" x14ac:dyDescent="0.3">
      <c r="A20" s="25" t="s">
        <v>49</v>
      </c>
      <c r="B20" s="25"/>
      <c r="C20" s="9">
        <v>231.6</v>
      </c>
      <c r="D20" s="9">
        <v>401.9</v>
      </c>
      <c r="E20" s="9">
        <v>2.25</v>
      </c>
      <c r="F20" s="9">
        <v>7.4</v>
      </c>
      <c r="G20" s="9">
        <v>2.36</v>
      </c>
      <c r="H20" s="9">
        <v>2.54</v>
      </c>
      <c r="I20" s="9">
        <v>3.7</v>
      </c>
      <c r="J20" s="9">
        <v>320</v>
      </c>
      <c r="K20" s="9">
        <f>D20*P20</f>
        <v>510.41299999999995</v>
      </c>
      <c r="L20" s="9">
        <f t="shared" si="2"/>
        <v>520.16201999999998</v>
      </c>
      <c r="M20" s="9">
        <v>524</v>
      </c>
      <c r="N20" s="9">
        <v>0.99819999999999998</v>
      </c>
      <c r="O20" s="9">
        <f t="shared" si="0"/>
        <v>98.125772427598605</v>
      </c>
      <c r="P20" s="9">
        <v>1.27</v>
      </c>
      <c r="Q20" s="9">
        <v>500</v>
      </c>
    </row>
    <row r="21" spans="1:17" x14ac:dyDescent="0.3">
      <c r="A21" s="25" t="s">
        <v>51</v>
      </c>
      <c r="B21" s="25"/>
      <c r="C21" s="9">
        <v>231.5</v>
      </c>
      <c r="D21" s="9">
        <v>401.3</v>
      </c>
      <c r="E21" s="9">
        <v>2.93</v>
      </c>
      <c r="F21" s="9">
        <v>9.4</v>
      </c>
      <c r="G21" s="9">
        <v>2.74</v>
      </c>
      <c r="H21" s="9">
        <v>2.98</v>
      </c>
      <c r="I21" s="9">
        <v>4.5</v>
      </c>
      <c r="J21" s="9">
        <v>266.66699999999997</v>
      </c>
      <c r="K21" s="9">
        <f>D21*P21</f>
        <v>678.197</v>
      </c>
      <c r="L21" s="9">
        <f t="shared" si="2"/>
        <v>677.14189850000002</v>
      </c>
      <c r="M21" s="9">
        <v>677</v>
      </c>
      <c r="N21" s="9">
        <v>0.99829999999999997</v>
      </c>
      <c r="O21" s="9">
        <f t="shared" si="0"/>
        <v>100.15581689780785</v>
      </c>
      <c r="P21" s="9">
        <v>1.69</v>
      </c>
      <c r="Q21" s="9">
        <v>502</v>
      </c>
    </row>
    <row r="22" spans="1:17" x14ac:dyDescent="0.3">
      <c r="A22" s="25"/>
      <c r="B22" s="25"/>
    </row>
  </sheetData>
  <mergeCells count="16">
    <mergeCell ref="A2:B2"/>
    <mergeCell ref="A15:B16"/>
    <mergeCell ref="A8:B8"/>
    <mergeCell ref="A9:B9"/>
    <mergeCell ref="G19:J19"/>
    <mergeCell ref="A20:B20"/>
    <mergeCell ref="A21:B21"/>
    <mergeCell ref="A22:B22"/>
    <mergeCell ref="G11:J11"/>
    <mergeCell ref="A4:B4"/>
    <mergeCell ref="A5:B5"/>
    <mergeCell ref="A6:B6"/>
    <mergeCell ref="A7:B7"/>
    <mergeCell ref="A17:B17"/>
    <mergeCell ref="A13:B13"/>
    <mergeCell ref="A14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BD33-790C-4A25-880A-35AD161F0296}">
  <dimension ref="A2:S18"/>
  <sheetViews>
    <sheetView tabSelected="1" workbookViewId="0">
      <selection activeCell="Q14" sqref="Q14"/>
    </sheetView>
  </sheetViews>
  <sheetFormatPr defaultRowHeight="14.4" x14ac:dyDescent="0.3"/>
  <cols>
    <col min="1" max="5" width="8.88671875" style="9"/>
    <col min="6" max="6" width="10.88671875" style="9" bestFit="1" customWidth="1"/>
    <col min="7" max="7" width="8.88671875" style="9"/>
    <col min="8" max="8" width="11" style="9" bestFit="1" customWidth="1"/>
    <col min="9" max="9" width="11.44140625" style="9" bestFit="1" customWidth="1"/>
    <col min="10" max="10" width="11" style="9" bestFit="1" customWidth="1"/>
    <col min="11" max="12" width="11.6640625" style="9" bestFit="1" customWidth="1"/>
    <col min="13" max="13" width="12" style="9" bestFit="1" customWidth="1"/>
    <col min="14" max="15" width="8.88671875" style="9"/>
    <col min="16" max="16" width="11" style="9" bestFit="1" customWidth="1"/>
    <col min="17" max="16384" width="8.88671875" style="9"/>
  </cols>
  <sheetData>
    <row r="2" spans="1:19" x14ac:dyDescent="0.3">
      <c r="A2" s="34"/>
      <c r="B2" s="21" t="s">
        <v>67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1:19" x14ac:dyDescent="0.3">
      <c r="A3" s="35" t="s">
        <v>56</v>
      </c>
      <c r="B3" s="36" t="s">
        <v>55</v>
      </c>
      <c r="C3" s="37" t="s">
        <v>52</v>
      </c>
      <c r="D3" s="37" t="s">
        <v>53</v>
      </c>
      <c r="E3" s="37" t="s">
        <v>54</v>
      </c>
      <c r="F3" s="19" t="s">
        <v>65</v>
      </c>
      <c r="G3" s="36" t="s">
        <v>11</v>
      </c>
      <c r="H3" s="37" t="s">
        <v>66</v>
      </c>
      <c r="I3" s="37" t="s">
        <v>62</v>
      </c>
      <c r="J3" s="37" t="s">
        <v>59</v>
      </c>
      <c r="K3" s="37" t="s">
        <v>61</v>
      </c>
      <c r="L3" s="37" t="s">
        <v>63</v>
      </c>
      <c r="M3" s="37" t="s">
        <v>60</v>
      </c>
      <c r="N3" s="19" t="s">
        <v>64</v>
      </c>
      <c r="P3" s="11" t="s">
        <v>57</v>
      </c>
      <c r="R3" s="9" t="s">
        <v>68</v>
      </c>
      <c r="S3" s="9" t="s">
        <v>69</v>
      </c>
    </row>
    <row r="4" spans="1:19" x14ac:dyDescent="0.3">
      <c r="A4" s="38"/>
      <c r="B4" s="8"/>
      <c r="C4" s="39"/>
      <c r="D4" s="39"/>
      <c r="E4" s="39"/>
      <c r="F4" s="10"/>
      <c r="G4" s="8"/>
      <c r="H4" s="39"/>
      <c r="I4" s="39"/>
      <c r="J4" s="39"/>
      <c r="K4" s="39"/>
      <c r="L4" s="39"/>
      <c r="M4" s="39"/>
      <c r="N4" s="10"/>
    </row>
    <row r="5" spans="1:19" x14ac:dyDescent="0.3">
      <c r="A5" s="38">
        <v>100</v>
      </c>
      <c r="B5" s="8">
        <v>1.5</v>
      </c>
      <c r="C5" s="39">
        <v>0.67300000000000004</v>
      </c>
      <c r="D5" s="39">
        <v>0.80200000000000005</v>
      </c>
      <c r="E5" s="39">
        <f>1/40</f>
        <v>2.5000000000000001E-2</v>
      </c>
      <c r="F5" s="46">
        <f>B5*C5+D5^2*E5</f>
        <v>1.0255801</v>
      </c>
      <c r="G5" s="8">
        <v>47</v>
      </c>
      <c r="H5" s="39">
        <v>198</v>
      </c>
      <c r="I5" s="39">
        <v>390</v>
      </c>
      <c r="J5" s="47">
        <f>(H5*I5/(2*10^9))</f>
        <v>3.8609999999999998E-5</v>
      </c>
      <c r="K5" s="39">
        <v>430</v>
      </c>
      <c r="L5" s="39">
        <v>131.6</v>
      </c>
      <c r="M5" s="47">
        <f>K5*L5/(2*10^9)</f>
        <v>2.8294E-5</v>
      </c>
      <c r="N5" s="46">
        <f>G5*1000*(J5+M5)</f>
        <v>3.1444879999999999</v>
      </c>
      <c r="P5" s="48">
        <f>F5+N5</f>
        <v>4.1700680999999999</v>
      </c>
      <c r="R5" s="9">
        <v>373</v>
      </c>
      <c r="S5" s="9">
        <f>R5+P5*0.31-273</f>
        <v>101.29272111099999</v>
      </c>
    </row>
    <row r="6" spans="1:19" x14ac:dyDescent="0.3">
      <c r="A6" s="38"/>
      <c r="B6" s="8"/>
      <c r="C6" s="39"/>
      <c r="D6" s="39"/>
      <c r="E6" s="39"/>
      <c r="F6" s="46"/>
      <c r="G6" s="8"/>
      <c r="H6" s="39"/>
      <c r="I6" s="39"/>
      <c r="J6" s="47"/>
      <c r="K6" s="39"/>
      <c r="L6" s="39"/>
      <c r="M6" s="47"/>
      <c r="N6" s="46"/>
      <c r="P6" s="48"/>
    </row>
    <row r="7" spans="1:19" x14ac:dyDescent="0.3">
      <c r="A7" s="38">
        <v>200</v>
      </c>
      <c r="B7" s="8"/>
      <c r="C7" s="39"/>
      <c r="D7" s="39"/>
      <c r="E7" s="39"/>
      <c r="F7" s="46"/>
      <c r="G7" s="8"/>
      <c r="H7" s="39"/>
      <c r="I7" s="39"/>
      <c r="J7" s="47"/>
      <c r="K7" s="39"/>
      <c r="L7" s="39"/>
      <c r="M7" s="47"/>
      <c r="N7" s="46"/>
      <c r="P7" s="48"/>
    </row>
    <row r="8" spans="1:19" x14ac:dyDescent="0.3">
      <c r="A8" s="38"/>
      <c r="B8" s="8"/>
      <c r="C8" s="39"/>
      <c r="D8" s="39"/>
      <c r="E8" s="39"/>
      <c r="F8" s="46"/>
      <c r="G8" s="8"/>
      <c r="H8" s="39"/>
      <c r="I8" s="39"/>
      <c r="J8" s="47"/>
      <c r="K8" s="39"/>
      <c r="L8" s="39"/>
      <c r="M8" s="47"/>
      <c r="N8" s="46"/>
      <c r="P8" s="48"/>
    </row>
    <row r="9" spans="1:19" x14ac:dyDescent="0.3">
      <c r="A9" s="38">
        <v>300</v>
      </c>
      <c r="B9" s="8"/>
      <c r="C9" s="39"/>
      <c r="D9" s="39"/>
      <c r="E9" s="39"/>
      <c r="F9" s="46"/>
      <c r="G9" s="8"/>
      <c r="H9" s="39"/>
      <c r="I9" s="39"/>
      <c r="J9" s="47"/>
      <c r="K9" s="39"/>
      <c r="L9" s="39"/>
      <c r="M9" s="47"/>
      <c r="N9" s="46"/>
      <c r="P9" s="48"/>
    </row>
    <row r="10" spans="1:19" x14ac:dyDescent="0.3">
      <c r="A10" s="38"/>
      <c r="B10" s="8"/>
      <c r="C10" s="39"/>
      <c r="D10" s="39"/>
      <c r="E10" s="39"/>
      <c r="F10" s="46"/>
      <c r="G10" s="8"/>
      <c r="H10" s="39"/>
      <c r="I10" s="39"/>
      <c r="J10" s="47"/>
      <c r="K10" s="39"/>
      <c r="L10" s="39"/>
      <c r="M10" s="47"/>
      <c r="N10" s="46"/>
      <c r="P10" s="48"/>
    </row>
    <row r="11" spans="1:19" x14ac:dyDescent="0.3">
      <c r="A11" s="38">
        <v>400</v>
      </c>
      <c r="B11" s="8"/>
      <c r="C11" s="39"/>
      <c r="D11" s="39"/>
      <c r="E11" s="39"/>
      <c r="F11" s="46"/>
      <c r="G11" s="8"/>
      <c r="H11" s="39"/>
      <c r="I11" s="39"/>
      <c r="J11" s="47"/>
      <c r="K11" s="39"/>
      <c r="L11" s="39"/>
      <c r="M11" s="47"/>
      <c r="N11" s="46"/>
      <c r="P11" s="48"/>
    </row>
    <row r="12" spans="1:19" x14ac:dyDescent="0.3">
      <c r="A12" s="38"/>
      <c r="B12" s="8"/>
      <c r="C12" s="39"/>
      <c r="D12" s="39"/>
      <c r="E12" s="39"/>
      <c r="F12" s="46"/>
      <c r="G12" s="8"/>
      <c r="H12" s="39"/>
      <c r="I12" s="39"/>
      <c r="J12" s="47"/>
      <c r="K12" s="39"/>
      <c r="L12" s="39"/>
      <c r="M12" s="47"/>
      <c r="N12" s="46"/>
      <c r="P12" s="48"/>
    </row>
    <row r="13" spans="1:19" x14ac:dyDescent="0.3">
      <c r="A13" s="38"/>
      <c r="B13" s="8"/>
      <c r="C13" s="39"/>
      <c r="D13" s="39"/>
      <c r="E13" s="39"/>
      <c r="F13" s="46"/>
      <c r="G13" s="8"/>
      <c r="H13" s="39"/>
      <c r="I13" s="39"/>
      <c r="J13" s="47"/>
      <c r="K13" s="39"/>
      <c r="L13" s="39"/>
      <c r="M13" s="47"/>
      <c r="N13" s="46"/>
      <c r="P13" s="48"/>
    </row>
    <row r="14" spans="1:19" x14ac:dyDescent="0.3">
      <c r="A14" s="38"/>
      <c r="B14" s="8"/>
      <c r="C14" s="39"/>
      <c r="D14" s="39"/>
      <c r="E14" s="39"/>
      <c r="F14" s="46"/>
      <c r="G14" s="8"/>
      <c r="H14" s="39"/>
      <c r="I14" s="39"/>
      <c r="J14" s="47"/>
      <c r="K14" s="39"/>
      <c r="L14" s="39"/>
      <c r="M14" s="47"/>
      <c r="N14" s="46"/>
      <c r="P14" s="48"/>
    </row>
    <row r="15" spans="1:19" x14ac:dyDescent="0.3">
      <c r="A15" s="38"/>
      <c r="B15" s="8"/>
      <c r="C15" s="39"/>
      <c r="D15" s="39"/>
      <c r="E15" s="39"/>
      <c r="F15" s="46"/>
      <c r="G15" s="8"/>
      <c r="H15" s="39"/>
      <c r="I15" s="39"/>
      <c r="J15" s="47"/>
      <c r="K15" s="39"/>
      <c r="L15" s="39"/>
      <c r="M15" s="47"/>
      <c r="N15" s="46"/>
      <c r="P15" s="48"/>
    </row>
    <row r="16" spans="1:19" x14ac:dyDescent="0.3">
      <c r="A16" s="38"/>
      <c r="B16" s="8"/>
      <c r="C16" s="39"/>
      <c r="D16" s="39"/>
      <c r="E16" s="39"/>
      <c r="F16" s="46"/>
      <c r="G16" s="8"/>
      <c r="H16" s="39"/>
      <c r="I16" s="39"/>
      <c r="J16" s="47"/>
      <c r="K16" s="39"/>
      <c r="L16" s="39"/>
      <c r="M16" s="47"/>
      <c r="N16" s="46"/>
      <c r="P16" s="48"/>
    </row>
    <row r="17" spans="1:16" x14ac:dyDescent="0.3">
      <c r="A17" s="38"/>
      <c r="B17" s="8"/>
      <c r="C17" s="39"/>
      <c r="D17" s="39"/>
      <c r="E17" s="39"/>
      <c r="F17" s="46"/>
      <c r="G17" s="8"/>
      <c r="H17" s="39"/>
      <c r="I17" s="39"/>
      <c r="J17" s="47"/>
      <c r="K17" s="39"/>
      <c r="L17" s="39"/>
      <c r="M17" s="47"/>
      <c r="N17" s="46"/>
      <c r="P17" s="48"/>
    </row>
    <row r="18" spans="1:16" x14ac:dyDescent="0.3">
      <c r="A18" s="40"/>
      <c r="B18" s="12"/>
      <c r="C18" s="13"/>
      <c r="D18" s="13"/>
      <c r="E18" s="13"/>
      <c r="F18" s="44"/>
      <c r="G18" s="12"/>
      <c r="H18" s="13"/>
      <c r="I18" s="13"/>
      <c r="J18" s="45"/>
      <c r="K18" s="13"/>
      <c r="L18" s="13"/>
      <c r="M18" s="45"/>
      <c r="N18" s="44"/>
      <c r="P18" s="48"/>
    </row>
  </sheetData>
  <mergeCells count="1">
    <mergeCell ref="B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FEE57E6BD6042B976C2ADEFA21607" ma:contentTypeVersion="12" ma:contentTypeDescription="Create a new document." ma:contentTypeScope="" ma:versionID="f71578a1948569b0f3696771e98f3196">
  <xsd:schema xmlns:xsd="http://www.w3.org/2001/XMLSchema" xmlns:xs="http://www.w3.org/2001/XMLSchema" xmlns:p="http://schemas.microsoft.com/office/2006/metadata/properties" xmlns:ns3="5a09f1a3-0b03-4efd-983b-5edcf08d685b" targetNamespace="http://schemas.microsoft.com/office/2006/metadata/properties" ma:root="true" ma:fieldsID="97a2e0a11c297058de02ce1e8daeed4f" ns3:_="">
    <xsd:import namespace="5a09f1a3-0b03-4efd-983b-5edcf08d68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9f1a3-0b03-4efd-983b-5edcf08d68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09f1a3-0b03-4efd-983b-5edcf08d685b" xsi:nil="true"/>
  </documentManagement>
</p:properties>
</file>

<file path=customXml/itemProps1.xml><?xml version="1.0" encoding="utf-8"?>
<ds:datastoreItem xmlns:ds="http://schemas.openxmlformats.org/officeDocument/2006/customXml" ds:itemID="{41043070-39F2-4CCE-8ACB-C5EAFEA9D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9f1a3-0b03-4efd-983b-5edcf08d68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21CEF0-2BE5-4EA3-9A40-1AB8EF242B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E1C7F7-FF0D-48A0-B3CE-179B28B4979B}">
  <ds:schemaRefs>
    <ds:schemaRef ds:uri="http://www.w3.org/XML/1998/namespace"/>
    <ds:schemaRef ds:uri="5a09f1a3-0b03-4efd-983b-5edcf08d685b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Rfreq and Choke Selection</vt:lpstr>
      <vt:lpstr>Results and Readings</vt:lpstr>
      <vt:lpstr>Thermal Aspect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2025-09-10T06:08:12Z</dcterms:created>
  <dcterms:modified xsi:type="dcterms:W3CDTF">2025-09-30T08:06:15Z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0x01010032CFEE57E6BD6042B976C2ADEFA21607</vt:lpwstr>
  </property>
</Properties>
</file>