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1_M.Tech 4th Sem\EMPES\Flyback Converter\"/>
    </mc:Choice>
  </mc:AlternateContent>
  <xr:revisionPtr revIDLastSave="0" documentId="13_ncr:1_{7EDA9B2C-4344-4BAA-9C5B-200F1AD57B3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sign Calcul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1" l="1"/>
  <c r="E25" i="1"/>
  <c r="E23" i="1"/>
  <c r="E18" i="1"/>
  <c r="K17" i="1"/>
  <c r="K16" i="1"/>
  <c r="E33" i="1"/>
  <c r="O22" i="1"/>
  <c r="G34" i="1"/>
  <c r="M13" i="1"/>
  <c r="M16" i="1" s="1"/>
  <c r="M17" i="1" s="1"/>
  <c r="E11" i="1"/>
  <c r="E22" i="1" l="1"/>
  <c r="E24" i="1" l="1"/>
  <c r="E26" i="1"/>
  <c r="E27" i="1"/>
</calcChain>
</file>

<file path=xl/sharedStrings.xml><?xml version="1.0" encoding="utf-8"?>
<sst xmlns="http://schemas.openxmlformats.org/spreadsheetml/2006/main" count="102" uniqueCount="81">
  <si>
    <t>Flyback Converter Design (CCM)</t>
  </si>
  <si>
    <t>Vin,min</t>
  </si>
  <si>
    <t>Vin,max</t>
  </si>
  <si>
    <t>Vin,nom</t>
  </si>
  <si>
    <t>V</t>
  </si>
  <si>
    <t>Vo</t>
  </si>
  <si>
    <t>Io</t>
  </si>
  <si>
    <t>Io,max</t>
  </si>
  <si>
    <t>0 to 10</t>
  </si>
  <si>
    <t>A</t>
  </si>
  <si>
    <t>Po</t>
  </si>
  <si>
    <t>W</t>
  </si>
  <si>
    <t>SPECIFICATIONS</t>
  </si>
  <si>
    <t>1. Control Method</t>
  </si>
  <si>
    <t>UCC3809 pulse width modulator (PWM) as the controller</t>
  </si>
  <si>
    <t>UC3965 - Low offset Error Amplifier</t>
  </si>
  <si>
    <t>2. Maximum Duty Cycle and Turns Ratio</t>
  </si>
  <si>
    <t>%</t>
  </si>
  <si>
    <t>V_D (assumed)</t>
  </si>
  <si>
    <t>V_Rds_on drop</t>
  </si>
  <si>
    <t>N = Np/Ns</t>
  </si>
  <si>
    <t>-</t>
  </si>
  <si>
    <t>=</t>
  </si>
  <si>
    <t>D,max (Actual)</t>
  </si>
  <si>
    <t>3. Switching Frequency</t>
  </si>
  <si>
    <t>fsw (chosen)</t>
  </si>
  <si>
    <t>D,max (chosen)</t>
  </si>
  <si>
    <t>kHz</t>
  </si>
  <si>
    <t>ton,max</t>
  </si>
  <si>
    <t>µs</t>
  </si>
  <si>
    <t>4. Transformer Design</t>
  </si>
  <si>
    <t>I_peak, primary</t>
  </si>
  <si>
    <t>∆iL (assumed)</t>
  </si>
  <si>
    <t>(I_peak,primary / 2)</t>
  </si>
  <si>
    <t>I_rms</t>
  </si>
  <si>
    <t>Lp</t>
  </si>
  <si>
    <t>(if Vs = 32V)</t>
  </si>
  <si>
    <t>(if Vs = 72V)</t>
  </si>
  <si>
    <t>(if Vs = 48V)</t>
  </si>
  <si>
    <t>min</t>
  </si>
  <si>
    <t>max</t>
  </si>
  <si>
    <t>nom</t>
  </si>
  <si>
    <t>µH</t>
  </si>
  <si>
    <t>Ap</t>
  </si>
  <si>
    <t>k (winding factor)</t>
  </si>
  <si>
    <t>B,max = B,sat</t>
  </si>
  <si>
    <t>T</t>
  </si>
  <si>
    <t>Aw</t>
  </si>
  <si>
    <t>Ae</t>
  </si>
  <si>
    <t>Philips EFD30</t>
  </si>
  <si>
    <t>Np</t>
  </si>
  <si>
    <t>Ns</t>
  </si>
  <si>
    <t>Airgap</t>
  </si>
  <si>
    <t>cm</t>
  </si>
  <si>
    <t>Primary winding</t>
  </si>
  <si>
    <t>Secondary winding</t>
  </si>
  <si>
    <t>18 AWG</t>
  </si>
  <si>
    <t>21 AWG</t>
  </si>
  <si>
    <t>E41/17/2</t>
  </si>
  <si>
    <t>(selected in design)</t>
  </si>
  <si>
    <t>5. MOSFET Selection</t>
  </si>
  <si>
    <t>Vds</t>
  </si>
  <si>
    <t>V         --&gt;</t>
  </si>
  <si>
    <t>(taken)</t>
  </si>
  <si>
    <t>IRF640</t>
  </si>
  <si>
    <t>N- channel</t>
  </si>
  <si>
    <t>Rds,on</t>
  </si>
  <si>
    <t>Ω</t>
  </si>
  <si>
    <t>Idc rating</t>
  </si>
  <si>
    <t>6. Diode Selection</t>
  </si>
  <si>
    <t>Vd drop</t>
  </si>
  <si>
    <t>MBR2535CTL</t>
  </si>
  <si>
    <t>Schottky rectifier</t>
  </si>
  <si>
    <t>PIV</t>
  </si>
  <si>
    <t>7. Output capacitor</t>
  </si>
  <si>
    <r>
      <t>Irms/(8*fsw*</t>
    </r>
    <r>
      <rPr>
        <sz val="11"/>
        <color theme="1"/>
        <rFont val="Calibri"/>
        <family val="2"/>
      </rPr>
      <t>∆v</t>
    </r>
    <r>
      <rPr>
        <sz val="11"/>
        <color theme="1"/>
        <rFont val="Calibri"/>
        <family val="2"/>
        <scheme val="minor"/>
      </rPr>
      <t>)</t>
    </r>
  </si>
  <si>
    <t>µF</t>
  </si>
  <si>
    <t>C_out,min</t>
  </si>
  <si>
    <t>C_in</t>
  </si>
  <si>
    <t>With 80 µH, for 32V, CCM lost. So Final L selected                 =</t>
  </si>
  <si>
    <t>cm^4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</si>
</sst>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C0000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40"/>
  <sheetViews>
    <sheetView tabSelected="1" zoomScale="96" workbookViewId="0">
      <selection activeCell="S15" sqref="S15"/>
    </sheetView>
  </sheetViews>
  <sheetFormatPr defaultRowHeight="14.4" x14ac:dyDescent="0.3"/>
  <cols>
    <col min="1" max="4" width="8.88671875" style="4"/>
    <col min="5" max="5" width="13.6640625" style="4" bestFit="1" customWidth="1"/>
    <col min="6" max="16384" width="8.88671875" style="4"/>
  </cols>
  <sheetData>
    <row r="1" spans="2:14" x14ac:dyDescent="0.3">
      <c r="D1" s="33" t="s">
        <v>0</v>
      </c>
      <c r="E1" s="34"/>
      <c r="F1" s="34"/>
      <c r="G1" s="34"/>
      <c r="H1" s="34"/>
      <c r="I1" s="34"/>
      <c r="J1" s="34"/>
      <c r="K1" s="35"/>
    </row>
    <row r="2" spans="2:14" x14ac:dyDescent="0.3">
      <c r="D2" s="36"/>
      <c r="E2" s="37"/>
      <c r="F2" s="37"/>
      <c r="G2" s="37"/>
      <c r="H2" s="37"/>
      <c r="I2" s="37"/>
      <c r="J2" s="37"/>
      <c r="K2" s="38"/>
    </row>
    <row r="4" spans="2:14" x14ac:dyDescent="0.3">
      <c r="B4" s="29" t="s">
        <v>12</v>
      </c>
      <c r="C4" s="30"/>
    </row>
    <row r="5" spans="2:14" x14ac:dyDescent="0.3">
      <c r="B5" s="31" t="s">
        <v>1</v>
      </c>
      <c r="C5" s="32"/>
      <c r="D5" s="2"/>
      <c r="E5" s="2">
        <v>32</v>
      </c>
      <c r="F5" s="7" t="s">
        <v>4</v>
      </c>
      <c r="H5" s="23" t="s">
        <v>13</v>
      </c>
      <c r="I5" s="24"/>
      <c r="J5" s="24"/>
      <c r="K5" s="24"/>
      <c r="L5" s="24"/>
      <c r="M5" s="24"/>
      <c r="N5" s="25"/>
    </row>
    <row r="6" spans="2:14" x14ac:dyDescent="0.3">
      <c r="B6" s="20" t="s">
        <v>2</v>
      </c>
      <c r="C6" s="21"/>
      <c r="E6" s="4">
        <v>72</v>
      </c>
      <c r="F6" s="8" t="s">
        <v>4</v>
      </c>
      <c r="H6" s="3"/>
      <c r="N6" s="8"/>
    </row>
    <row r="7" spans="2:14" x14ac:dyDescent="0.3">
      <c r="B7" s="20" t="s">
        <v>3</v>
      </c>
      <c r="C7" s="21"/>
      <c r="E7" s="4">
        <v>48</v>
      </c>
      <c r="F7" s="8" t="s">
        <v>4</v>
      </c>
      <c r="H7" s="20" t="s">
        <v>14</v>
      </c>
      <c r="I7" s="21"/>
      <c r="J7" s="21"/>
      <c r="K7" s="21"/>
      <c r="L7" s="21"/>
      <c r="M7" s="21"/>
      <c r="N7" s="39"/>
    </row>
    <row r="8" spans="2:14" x14ac:dyDescent="0.3">
      <c r="B8" s="20" t="s">
        <v>5</v>
      </c>
      <c r="C8" s="21"/>
      <c r="E8" s="17">
        <v>5</v>
      </c>
      <c r="F8" s="8" t="s">
        <v>4</v>
      </c>
      <c r="H8" s="27" t="s">
        <v>15</v>
      </c>
      <c r="I8" s="28"/>
      <c r="J8" s="28"/>
      <c r="K8" s="28"/>
      <c r="L8" s="28"/>
      <c r="M8" s="28"/>
      <c r="N8" s="40"/>
    </row>
    <row r="9" spans="2:14" x14ac:dyDescent="0.3">
      <c r="B9" s="20" t="s">
        <v>6</v>
      </c>
      <c r="C9" s="21"/>
      <c r="E9" s="4" t="s">
        <v>8</v>
      </c>
      <c r="F9" s="8" t="s">
        <v>9</v>
      </c>
    </row>
    <row r="10" spans="2:14" x14ac:dyDescent="0.3">
      <c r="B10" s="20" t="s">
        <v>7</v>
      </c>
      <c r="C10" s="21"/>
      <c r="E10" s="4">
        <v>10</v>
      </c>
      <c r="F10" s="8" t="s">
        <v>9</v>
      </c>
    </row>
    <row r="11" spans="2:14" x14ac:dyDescent="0.3">
      <c r="B11" s="27" t="s">
        <v>10</v>
      </c>
      <c r="C11" s="28"/>
      <c r="D11" s="6"/>
      <c r="E11" s="19">
        <f>E8*E10</f>
        <v>50</v>
      </c>
      <c r="F11" s="9" t="s">
        <v>11</v>
      </c>
      <c r="H11" s="23" t="s">
        <v>16</v>
      </c>
      <c r="I11" s="24"/>
      <c r="J11" s="24"/>
      <c r="K11" s="24"/>
      <c r="L11" s="24"/>
      <c r="M11" s="24"/>
      <c r="N11" s="25"/>
    </row>
    <row r="12" spans="2:14" x14ac:dyDescent="0.3">
      <c r="B12" s="21"/>
      <c r="C12" s="21"/>
      <c r="H12" s="3"/>
      <c r="N12" s="8"/>
    </row>
    <row r="13" spans="2:14" x14ac:dyDescent="0.3">
      <c r="B13" s="21"/>
      <c r="C13" s="21"/>
      <c r="H13" s="20" t="s">
        <v>26</v>
      </c>
      <c r="I13" s="21"/>
      <c r="K13" s="4">
        <v>45</v>
      </c>
      <c r="L13" s="4" t="s">
        <v>17</v>
      </c>
      <c r="M13" s="4">
        <f>K13/100</f>
        <v>0.45</v>
      </c>
      <c r="N13" s="8"/>
    </row>
    <row r="14" spans="2:14" x14ac:dyDescent="0.3">
      <c r="B14" s="21"/>
      <c r="C14" s="21"/>
      <c r="H14" s="20" t="s">
        <v>18</v>
      </c>
      <c r="I14" s="21"/>
      <c r="K14" s="4">
        <v>0.8</v>
      </c>
      <c r="L14" s="4" t="s">
        <v>4</v>
      </c>
      <c r="N14" s="8"/>
    </row>
    <row r="15" spans="2:14" x14ac:dyDescent="0.3">
      <c r="B15" s="23" t="s">
        <v>24</v>
      </c>
      <c r="C15" s="24"/>
      <c r="D15" s="24"/>
      <c r="E15" s="24"/>
      <c r="F15" s="25"/>
      <c r="H15" s="20" t="s">
        <v>19</v>
      </c>
      <c r="I15" s="21"/>
      <c r="K15" s="4">
        <v>1</v>
      </c>
      <c r="L15" s="4" t="s">
        <v>4</v>
      </c>
      <c r="N15" s="8"/>
    </row>
    <row r="16" spans="2:14" x14ac:dyDescent="0.3">
      <c r="B16" s="20"/>
      <c r="C16" s="21"/>
      <c r="F16" s="8"/>
      <c r="H16" s="20" t="s">
        <v>20</v>
      </c>
      <c r="I16" s="21"/>
      <c r="K16" s="10">
        <f>(M13*(E5-K15))/((1-M13)*(E8+K14))</f>
        <v>4.3730407523510975</v>
      </c>
      <c r="L16" s="4" t="s">
        <v>22</v>
      </c>
      <c r="M16" s="15">
        <f>ROUNDUP(K16,0)</f>
        <v>5</v>
      </c>
      <c r="N16" s="8"/>
    </row>
    <row r="17" spans="2:18" x14ac:dyDescent="0.3">
      <c r="B17" s="20" t="s">
        <v>25</v>
      </c>
      <c r="C17" s="21"/>
      <c r="E17" s="4">
        <v>70</v>
      </c>
      <c r="F17" s="8" t="s">
        <v>27</v>
      </c>
      <c r="H17" s="27" t="s">
        <v>23</v>
      </c>
      <c r="I17" s="28"/>
      <c r="J17" s="6"/>
      <c r="K17" s="14">
        <f>100/(1+(E5-K15)/(M16*(E8+K14)))</f>
        <v>48.333333333333343</v>
      </c>
      <c r="L17" s="6" t="s">
        <v>17</v>
      </c>
      <c r="M17" s="11">
        <f>K17/100</f>
        <v>0.48333333333333345</v>
      </c>
      <c r="N17" s="9"/>
      <c r="P17" s="10"/>
    </row>
    <row r="18" spans="2:18" x14ac:dyDescent="0.3">
      <c r="B18" s="27" t="s">
        <v>28</v>
      </c>
      <c r="C18" s="28"/>
      <c r="D18" s="6"/>
      <c r="E18" s="11">
        <f>M17*1000/E17</f>
        <v>6.904761904761906</v>
      </c>
      <c r="F18" s="12" t="s">
        <v>29</v>
      </c>
      <c r="H18" s="1"/>
      <c r="I18" s="1"/>
    </row>
    <row r="19" spans="2:18" x14ac:dyDescent="0.3">
      <c r="B19" s="21"/>
      <c r="C19" s="21"/>
      <c r="H19" s="1"/>
      <c r="I19" s="1"/>
    </row>
    <row r="20" spans="2:18" x14ac:dyDescent="0.3">
      <c r="B20" s="23" t="s">
        <v>30</v>
      </c>
      <c r="C20" s="24"/>
      <c r="D20" s="24"/>
      <c r="E20" s="24"/>
      <c r="F20" s="24"/>
      <c r="G20" s="24"/>
      <c r="H20" s="24"/>
      <c r="I20" s="24"/>
      <c r="J20" s="24"/>
      <c r="K20" s="25"/>
      <c r="M20" s="23" t="s">
        <v>60</v>
      </c>
      <c r="N20" s="24"/>
      <c r="O20" s="24"/>
      <c r="P20" s="24"/>
      <c r="Q20" s="24"/>
      <c r="R20" s="25"/>
    </row>
    <row r="21" spans="2:18" x14ac:dyDescent="0.3">
      <c r="B21" s="20"/>
      <c r="C21" s="21"/>
      <c r="H21" s="1"/>
      <c r="I21" s="1"/>
      <c r="K21" s="8"/>
      <c r="M21" s="3"/>
      <c r="R21" s="8"/>
    </row>
    <row r="22" spans="2:18" x14ac:dyDescent="0.3">
      <c r="B22" s="26" t="s">
        <v>32</v>
      </c>
      <c r="C22" s="21"/>
      <c r="E22" s="10">
        <f>E23/2</f>
        <v>2.5806451606451613</v>
      </c>
      <c r="F22" s="4" t="s">
        <v>9</v>
      </c>
      <c r="G22" s="21" t="s">
        <v>33</v>
      </c>
      <c r="H22" s="21"/>
      <c r="K22" s="8"/>
      <c r="M22" s="3" t="s">
        <v>61</v>
      </c>
      <c r="O22" s="4">
        <f>1.3*((E6+E5)+M16*(E8+K14))</f>
        <v>172.9</v>
      </c>
      <c r="P22" s="4" t="s">
        <v>62</v>
      </c>
      <c r="Q22" s="4">
        <v>200</v>
      </c>
      <c r="R22" s="8" t="s">
        <v>63</v>
      </c>
    </row>
    <row r="23" spans="2:18" x14ac:dyDescent="0.3">
      <c r="B23" s="20" t="s">
        <v>31</v>
      </c>
      <c r="C23" s="21"/>
      <c r="E23" s="16">
        <f>1.333333333*E10/(M16*(1-M17))</f>
        <v>5.1612903212903225</v>
      </c>
      <c r="F23" s="4" t="s">
        <v>9</v>
      </c>
      <c r="H23" s="1"/>
      <c r="I23" s="1"/>
      <c r="K23" s="8"/>
      <c r="M23" s="3"/>
      <c r="Q23" s="4" t="s">
        <v>64</v>
      </c>
      <c r="R23" s="8"/>
    </row>
    <row r="24" spans="2:18" x14ac:dyDescent="0.3">
      <c r="B24" s="20" t="s">
        <v>34</v>
      </c>
      <c r="C24" s="21"/>
      <c r="E24" s="10">
        <f>SQRT((E23^2 - E22*E23 + E22^2/3)*(E18*10^-6*E17*1000))</f>
        <v>2.7405646998867286</v>
      </c>
      <c r="F24" s="4" t="s">
        <v>9</v>
      </c>
      <c r="H24" s="1"/>
      <c r="I24" s="1"/>
      <c r="K24" s="8"/>
      <c r="M24" s="3"/>
      <c r="Q24" s="4" t="s">
        <v>65</v>
      </c>
      <c r="R24" s="8"/>
    </row>
    <row r="25" spans="2:18" x14ac:dyDescent="0.3">
      <c r="B25" s="20" t="s">
        <v>35</v>
      </c>
      <c r="C25" s="21"/>
      <c r="D25" s="4" t="s">
        <v>39</v>
      </c>
      <c r="E25" s="10">
        <f>E5*E18/E22</f>
        <v>85.619047640452393</v>
      </c>
      <c r="F25" s="13" t="s">
        <v>42</v>
      </c>
      <c r="G25" s="21" t="s">
        <v>36</v>
      </c>
      <c r="H25" s="21"/>
      <c r="I25" s="4">
        <v>80</v>
      </c>
      <c r="J25" s="13" t="s">
        <v>42</v>
      </c>
      <c r="K25" s="22" t="s">
        <v>59</v>
      </c>
      <c r="L25" s="1"/>
      <c r="M25" s="3" t="s">
        <v>66</v>
      </c>
      <c r="O25" s="4">
        <v>0.18</v>
      </c>
      <c r="P25" s="13" t="s">
        <v>67</v>
      </c>
      <c r="R25" s="8"/>
    </row>
    <row r="26" spans="2:18" x14ac:dyDescent="0.3">
      <c r="B26" s="20"/>
      <c r="C26" s="21"/>
      <c r="D26" s="4" t="s">
        <v>40</v>
      </c>
      <c r="E26" s="10">
        <f>E6*E18/E22</f>
        <v>192.6428571910179</v>
      </c>
      <c r="F26" s="13" t="s">
        <v>42</v>
      </c>
      <c r="G26" s="21" t="s">
        <v>37</v>
      </c>
      <c r="H26" s="21"/>
      <c r="I26" s="1"/>
      <c r="K26" s="22"/>
      <c r="M26" s="5" t="s">
        <v>68</v>
      </c>
      <c r="N26" s="6"/>
      <c r="O26" s="6">
        <v>18</v>
      </c>
      <c r="P26" s="6" t="s">
        <v>9</v>
      </c>
      <c r="Q26" s="6"/>
      <c r="R26" s="9"/>
    </row>
    <row r="27" spans="2:18" x14ac:dyDescent="0.3">
      <c r="B27" s="20"/>
      <c r="C27" s="21"/>
      <c r="D27" s="4" t="s">
        <v>41</v>
      </c>
      <c r="E27" s="10">
        <f>E7*E18/E22</f>
        <v>128.4285714606786</v>
      </c>
      <c r="F27" s="13" t="s">
        <v>42</v>
      </c>
      <c r="G27" s="21" t="s">
        <v>38</v>
      </c>
      <c r="H27" s="21"/>
      <c r="K27" s="8"/>
    </row>
    <row r="28" spans="2:18" x14ac:dyDescent="0.3">
      <c r="B28" s="3"/>
      <c r="E28" s="10"/>
      <c r="F28" s="13"/>
      <c r="K28" s="8"/>
      <c r="M28" s="23" t="s">
        <v>69</v>
      </c>
      <c r="N28" s="24"/>
      <c r="O28" s="24"/>
      <c r="P28" s="24"/>
      <c r="Q28" s="24"/>
      <c r="R28" s="25"/>
    </row>
    <row r="29" spans="2:18" x14ac:dyDescent="0.3">
      <c r="B29" s="20" t="s">
        <v>44</v>
      </c>
      <c r="C29" s="21"/>
      <c r="D29" s="4">
        <v>0.2</v>
      </c>
      <c r="E29" s="4" t="s">
        <v>45</v>
      </c>
      <c r="F29" s="4">
        <v>0.33</v>
      </c>
      <c r="G29" s="4" t="s">
        <v>46</v>
      </c>
      <c r="K29" s="8"/>
      <c r="M29" s="3"/>
      <c r="R29" s="8"/>
    </row>
    <row r="30" spans="2:18" x14ac:dyDescent="0.3">
      <c r="B30" s="20" t="s">
        <v>43</v>
      </c>
      <c r="C30" s="21"/>
      <c r="E30" s="4">
        <f>((I25*10^-6*E23*E24*10^4)/(420*D29*F29))^1.31</f>
        <v>0.30922357232702979</v>
      </c>
      <c r="F30" s="4" t="s">
        <v>80</v>
      </c>
      <c r="K30" s="8"/>
      <c r="M30" s="3" t="s">
        <v>70</v>
      </c>
      <c r="O30" s="4">
        <v>0.47</v>
      </c>
      <c r="P30" s="4" t="s">
        <v>4</v>
      </c>
      <c r="Q30" s="21" t="s">
        <v>71</v>
      </c>
      <c r="R30" s="39"/>
    </row>
    <row r="31" spans="2:18" x14ac:dyDescent="0.3">
      <c r="B31" s="20" t="s">
        <v>47</v>
      </c>
      <c r="C31" s="21"/>
      <c r="E31" s="4" t="s">
        <v>21</v>
      </c>
      <c r="G31" s="21" t="s">
        <v>49</v>
      </c>
      <c r="H31" s="21"/>
      <c r="K31" s="8"/>
      <c r="M31" s="3"/>
      <c r="P31" s="21" t="s">
        <v>72</v>
      </c>
      <c r="Q31" s="21"/>
      <c r="R31" s="39"/>
    </row>
    <row r="32" spans="2:18" x14ac:dyDescent="0.3">
      <c r="B32" s="20" t="s">
        <v>48</v>
      </c>
      <c r="C32" s="21"/>
      <c r="E32" s="4" t="s">
        <v>21</v>
      </c>
      <c r="K32" s="8"/>
      <c r="M32" s="5" t="s">
        <v>73</v>
      </c>
      <c r="N32" s="6"/>
      <c r="O32" s="6">
        <v>35</v>
      </c>
      <c r="P32" s="6" t="s">
        <v>4</v>
      </c>
      <c r="Q32" s="6"/>
      <c r="R32" s="9"/>
    </row>
    <row r="33" spans="2:18" x14ac:dyDescent="0.3">
      <c r="B33" s="20" t="s">
        <v>50</v>
      </c>
      <c r="C33" s="21"/>
      <c r="E33" s="4" t="e">
        <f>(I25*10^-6*E23*10^4)/(F29*E32)</f>
        <v>#VALUE!</v>
      </c>
      <c r="F33" s="4" t="s">
        <v>22</v>
      </c>
      <c r="G33" s="15">
        <v>20</v>
      </c>
      <c r="K33" s="8"/>
    </row>
    <row r="34" spans="2:18" x14ac:dyDescent="0.3">
      <c r="B34" s="20" t="s">
        <v>51</v>
      </c>
      <c r="C34" s="21"/>
      <c r="G34" s="15">
        <f>G33/M16</f>
        <v>4</v>
      </c>
      <c r="K34" s="8"/>
      <c r="M34" s="23" t="s">
        <v>74</v>
      </c>
      <c r="N34" s="24"/>
      <c r="O34" s="24"/>
      <c r="P34" s="24"/>
      <c r="Q34" s="24"/>
      <c r="R34" s="25"/>
    </row>
    <row r="35" spans="2:18" x14ac:dyDescent="0.3">
      <c r="B35" s="20" t="s">
        <v>52</v>
      </c>
      <c r="C35" s="21"/>
      <c r="E35" s="4">
        <v>4.2999999999999997E-2</v>
      </c>
      <c r="F35" s="4" t="s">
        <v>53</v>
      </c>
      <c r="K35" s="8"/>
      <c r="M35" s="3"/>
      <c r="R35" s="8"/>
    </row>
    <row r="36" spans="2:18" x14ac:dyDescent="0.3">
      <c r="B36" s="20" t="s">
        <v>54</v>
      </c>
      <c r="C36" s="21"/>
      <c r="E36" s="15" t="s">
        <v>57</v>
      </c>
      <c r="K36" s="8"/>
      <c r="M36" s="3" t="s">
        <v>77</v>
      </c>
      <c r="N36" s="4" t="s">
        <v>22</v>
      </c>
      <c r="O36" s="21" t="s">
        <v>75</v>
      </c>
      <c r="P36" s="21"/>
      <c r="Q36" s="4">
        <v>300</v>
      </c>
      <c r="R36" s="18" t="s">
        <v>76</v>
      </c>
    </row>
    <row r="37" spans="2:18" x14ac:dyDescent="0.3">
      <c r="B37" s="20" t="s">
        <v>55</v>
      </c>
      <c r="C37" s="21"/>
      <c r="E37" s="15" t="s">
        <v>56</v>
      </c>
      <c r="K37" s="8"/>
      <c r="M37" s="5" t="s">
        <v>78</v>
      </c>
      <c r="N37" s="6"/>
      <c r="O37" s="6"/>
      <c r="P37" s="6"/>
      <c r="Q37" s="6">
        <v>1</v>
      </c>
      <c r="R37" s="12" t="s">
        <v>76</v>
      </c>
    </row>
    <row r="38" spans="2:18" x14ac:dyDescent="0.3">
      <c r="B38" s="3"/>
      <c r="K38" s="8"/>
    </row>
    <row r="39" spans="2:18" x14ac:dyDescent="0.3">
      <c r="B39" s="20" t="s">
        <v>79</v>
      </c>
      <c r="C39" s="21"/>
      <c r="D39" s="21"/>
      <c r="E39" s="21"/>
      <c r="F39" s="21"/>
      <c r="G39" s="21"/>
      <c r="H39" s="15">
        <v>264.5</v>
      </c>
      <c r="I39" s="4" t="s">
        <v>42</v>
      </c>
      <c r="J39" s="15" t="s">
        <v>58</v>
      </c>
      <c r="K39" s="8"/>
    </row>
    <row r="40" spans="2:18" x14ac:dyDescent="0.3">
      <c r="B40" s="5"/>
      <c r="C40" s="6"/>
      <c r="D40" s="6"/>
      <c r="E40" s="6"/>
      <c r="F40" s="6"/>
      <c r="G40" s="6"/>
      <c r="H40" s="6"/>
      <c r="I40" s="6"/>
      <c r="J40" s="6"/>
      <c r="K40" s="9"/>
    </row>
  </sheetData>
  <mergeCells count="54">
    <mergeCell ref="M34:R34"/>
    <mergeCell ref="O36:P36"/>
    <mergeCell ref="D1:K2"/>
    <mergeCell ref="M20:R20"/>
    <mergeCell ref="M28:R28"/>
    <mergeCell ref="Q30:R30"/>
    <mergeCell ref="P31:R31"/>
    <mergeCell ref="H7:N7"/>
    <mergeCell ref="H8:N8"/>
    <mergeCell ref="H5:N5"/>
    <mergeCell ref="H11:N11"/>
    <mergeCell ref="H13:I13"/>
    <mergeCell ref="H14:I14"/>
    <mergeCell ref="H15:I15"/>
    <mergeCell ref="H16:I16"/>
    <mergeCell ref="H17:I17"/>
    <mergeCell ref="B4:C4"/>
    <mergeCell ref="B29:C29"/>
    <mergeCell ref="B30:C30"/>
    <mergeCell ref="B31:C31"/>
    <mergeCell ref="B32:C32"/>
    <mergeCell ref="B13:C13"/>
    <mergeCell ref="B14:C14"/>
    <mergeCell ref="B16:C16"/>
    <mergeCell ref="B17:C17"/>
    <mergeCell ref="B18:C18"/>
    <mergeCell ref="B5:C5"/>
    <mergeCell ref="B6:C6"/>
    <mergeCell ref="B7:C7"/>
    <mergeCell ref="B8:C8"/>
    <mergeCell ref="B21:C21"/>
    <mergeCell ref="B23:C23"/>
    <mergeCell ref="B24:C24"/>
    <mergeCell ref="B19:C19"/>
    <mergeCell ref="B9:C9"/>
    <mergeCell ref="B10:C10"/>
    <mergeCell ref="B11:C11"/>
    <mergeCell ref="B12:C12"/>
    <mergeCell ref="B39:G39"/>
    <mergeCell ref="K25:K26"/>
    <mergeCell ref="B15:F15"/>
    <mergeCell ref="B22:C22"/>
    <mergeCell ref="G22:H22"/>
    <mergeCell ref="G25:H25"/>
    <mergeCell ref="B20:K20"/>
    <mergeCell ref="B34:C34"/>
    <mergeCell ref="B35:C35"/>
    <mergeCell ref="B36:C36"/>
    <mergeCell ref="B37:C37"/>
    <mergeCell ref="G26:H26"/>
    <mergeCell ref="G27:H27"/>
    <mergeCell ref="B25:C27"/>
    <mergeCell ref="G31:H31"/>
    <mergeCell ref="B33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Design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Kumar</dc:creator>
  <cp:lastModifiedBy>Aditya Kumar</cp:lastModifiedBy>
  <dcterms:created xsi:type="dcterms:W3CDTF">2015-06-05T18:17:20Z</dcterms:created>
  <dcterms:modified xsi:type="dcterms:W3CDTF">2026-01-16T14:26:18Z</dcterms:modified>
</cp:coreProperties>
</file>